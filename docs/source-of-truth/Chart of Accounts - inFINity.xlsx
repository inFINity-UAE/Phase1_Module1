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hetviparikh/Downloads/"/>
    </mc:Choice>
  </mc:AlternateContent>
  <xr:revisionPtr revIDLastSave="0" documentId="13_ncr:1_{3400DE84-E625-6842-BA66-FC54E379F4C9}" xr6:coauthVersionLast="47" xr6:coauthVersionMax="47" xr10:uidLastSave="{00000000-0000-0000-0000-000000000000}"/>
  <bookViews>
    <workbookView xWindow="20" yWindow="520" windowWidth="28800" windowHeight="16140" activeTab="1" xr2:uid="{00000000-000D-0000-FFFF-FFFF00000000}"/>
  </bookViews>
  <sheets>
    <sheet name="Dashboard" sheetId="1" r:id="rId1"/>
    <sheet name="Chart of Accounts" sheetId="2" r:id="rId2"/>
  </sheets>
  <definedNames>
    <definedName name="_xlnm._FilterDatabase" localSheetId="1" hidden="1">'Chart of Accounts'!$A$1:$F$101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9" i="1"/>
  <c r="C8" i="1"/>
  <c r="C7" i="1"/>
  <c r="C6" i="1"/>
  <c r="C5" i="1"/>
</calcChain>
</file>

<file path=xl/sharedStrings.xml><?xml version="1.0" encoding="utf-8"?>
<sst xmlns="http://schemas.openxmlformats.org/spreadsheetml/2006/main" count="629" uniqueCount="338">
  <si>
    <t>Account Category</t>
  </si>
  <si>
    <t>Code Range</t>
  </si>
  <si>
    <t>Total Accounts</t>
  </si>
  <si>
    <t>Normal Balance</t>
  </si>
  <si>
    <t>Assets</t>
  </si>
  <si>
    <t>1000–1999</t>
  </si>
  <si>
    <t>Debit</t>
  </si>
  <si>
    <t>Liabilities</t>
  </si>
  <si>
    <t>2000–2999</t>
  </si>
  <si>
    <t>Credit</t>
  </si>
  <si>
    <t>Equity</t>
  </si>
  <si>
    <t>3000–3999</t>
  </si>
  <si>
    <t>Revenue / Income</t>
  </si>
  <si>
    <t>4000–4999</t>
  </si>
  <si>
    <t>Cost of Goods Sold (COGS)</t>
  </si>
  <si>
    <t>5000–5999</t>
  </si>
  <si>
    <t>Operating Expenses</t>
  </si>
  <si>
    <t>6000–7999</t>
  </si>
  <si>
    <t>Account Number</t>
  </si>
  <si>
    <t>Account Name</t>
  </si>
  <si>
    <t>Sub-Category</t>
  </si>
  <si>
    <t>Description</t>
  </si>
  <si>
    <t>1010</t>
  </si>
  <si>
    <t>Cash - Operating Account</t>
  </si>
  <si>
    <t>Asset</t>
  </si>
  <si>
    <t>Current Asset</t>
  </si>
  <si>
    <t>Primary checking account for daily operational receipts and disbursements.</t>
  </si>
  <si>
    <t>1020</t>
  </si>
  <si>
    <t>Cash - Payroll Account</t>
  </si>
  <si>
    <t>Dedicated checking account for employee wage and benefit payouts.</t>
  </si>
  <si>
    <t>1030</t>
  </si>
  <si>
    <t>Cash - Savings &amp; Money Market</t>
  </si>
  <si>
    <t>Interest-bearing reserve account for short-term capital storage.</t>
  </si>
  <si>
    <t>1040</t>
  </si>
  <si>
    <t>Petty Cash</t>
  </si>
  <si>
    <t>On-site physical cash vault for small incidental expenditures.</t>
  </si>
  <si>
    <t>1050</t>
  </si>
  <si>
    <t>Accounts Receivable</t>
  </si>
  <si>
    <t>Customer balances owed for goods or services billed on credit.</t>
  </si>
  <si>
    <t>1060</t>
  </si>
  <si>
    <t>Allowance for Uncollectible Accounts</t>
  </si>
  <si>
    <t>Contra-asset estimate of doubtful customer accounts receivable.</t>
  </si>
  <si>
    <t>1070</t>
  </si>
  <si>
    <t>Unbilled Revenue / Accrued Income</t>
  </si>
  <si>
    <t>Earned income for completed work not yet formally invoiced.</t>
  </si>
  <si>
    <t>1100</t>
  </si>
  <si>
    <t>Inventory - Raw Materials</t>
  </si>
  <si>
    <t>Cost of raw inputs purchased for production and manufacturing.</t>
  </si>
  <si>
    <t>1110</t>
  </si>
  <si>
    <t>Inventory - Work in Process</t>
  </si>
  <si>
    <t>Cost of partially finished goods currently in production.</t>
  </si>
  <si>
    <t>1120</t>
  </si>
  <si>
    <t>Inventory - Finished Goods</t>
  </si>
  <si>
    <t>Completed products held in warehouse ready for sale.</t>
  </si>
  <si>
    <t>1130</t>
  </si>
  <si>
    <t>Inventory - Merchandise for Resale</t>
  </si>
  <si>
    <t>Purchased finished goods acquired from vendors for direct resale.</t>
  </si>
  <si>
    <t>1140</t>
  </si>
  <si>
    <t>Inventory Reserve for Obsolescence</t>
  </si>
  <si>
    <t>Contra-asset valuation allowance for damaged or slow-moving inventory.</t>
  </si>
  <si>
    <t>1200</t>
  </si>
  <si>
    <t>Prepaid Insurance</t>
  </si>
  <si>
    <t>Advance payments for insurance coverage amortized over the policy term.</t>
  </si>
  <si>
    <t>1210</t>
  </si>
  <si>
    <t>Prepaid Rent</t>
  </si>
  <si>
    <t>Facility lease payments made prior to the operating period.</t>
  </si>
  <si>
    <t>1220</t>
  </si>
  <si>
    <t>Prepaid Software &amp; Subscriptions</t>
  </si>
  <si>
    <t>Annual software licencing fees paid in advance.</t>
  </si>
  <si>
    <t>1230</t>
  </si>
  <si>
    <t>Prepaid Taxes</t>
  </si>
  <si>
    <t>Estimated tax installments paid ahead of final tax liability calculation.</t>
  </si>
  <si>
    <t>1300</t>
  </si>
  <si>
    <t>Office Supplies on Hand</t>
  </si>
  <si>
    <t>Unused office stationery and consumables held for operational use.</t>
  </si>
  <si>
    <t>1410</t>
  </si>
  <si>
    <t>Short-Term Marketable Securities</t>
  </si>
  <si>
    <t>Highly liquid financial investments held for under one year.</t>
  </si>
  <si>
    <t>1510</t>
  </si>
  <si>
    <t>Land</t>
  </si>
  <si>
    <t>Fixed Asset</t>
  </si>
  <si>
    <t>Real estate property held for operations; non-depreciable.</t>
  </si>
  <si>
    <t>1520</t>
  </si>
  <si>
    <t>Buildings</t>
  </si>
  <si>
    <t>Physical corporate structures and facilities owned.</t>
  </si>
  <si>
    <t>1525</t>
  </si>
  <si>
    <t>Accumulated Depreciation - Buildings</t>
  </si>
  <si>
    <t>Cumulative depreciation expense recognized on owned buildings.</t>
  </si>
  <si>
    <t>1530</t>
  </si>
  <si>
    <t>Equipment &amp; Machinery</t>
  </si>
  <si>
    <t>Manufacturing machinery, tools, and heavy operational equipment.</t>
  </si>
  <si>
    <t>1535</t>
  </si>
  <si>
    <t>Accumulated Depreciation - Equipment</t>
  </si>
  <si>
    <t>Cumulative depreciation expense recognized on machinery and equipment.</t>
  </si>
  <si>
    <t>1540</t>
  </si>
  <si>
    <t>Furniture &amp; Fixtures</t>
  </si>
  <si>
    <t>Office furniture, seating, partitions, and retail displays.</t>
  </si>
  <si>
    <t>1545</t>
  </si>
  <si>
    <t>Accumulated Depreciation - Furniture &amp; Fixtures</t>
  </si>
  <si>
    <t>Cumulative depreciation recognized on furniture and fixtures.</t>
  </si>
  <si>
    <t>1550</t>
  </si>
  <si>
    <t>Vehicles</t>
  </si>
  <si>
    <t>Company cars, delivery trucks, and transport vehicles.</t>
  </si>
  <si>
    <t>1555</t>
  </si>
  <si>
    <t>Accumulated Depreciation - Vehicles</t>
  </si>
  <si>
    <t>Cumulative depreciation recognized on company vehicles.</t>
  </si>
  <si>
    <t>1610</t>
  </si>
  <si>
    <t>Computer Hardware &amp; IT Infrastructure</t>
  </si>
  <si>
    <t>Servers, laptops, networking gear, and office IT equipment.</t>
  </si>
  <si>
    <t>1615</t>
  </si>
  <si>
    <t>Accumulated Depreciation - IT Equipment</t>
  </si>
  <si>
    <t>Cumulative depreciation recognized on computer hardware.</t>
  </si>
  <si>
    <t>1710</t>
  </si>
  <si>
    <t>Patents &amp; Trademarks</t>
  </si>
  <si>
    <t>Intangible Asset</t>
  </si>
  <si>
    <t>Capitalized costs for legal intellectual property rights.</t>
  </si>
  <si>
    <t>2010</t>
  </si>
  <si>
    <t>Accounts Payable</t>
  </si>
  <si>
    <t>Liability</t>
  </si>
  <si>
    <t>Current Liability</t>
  </si>
  <si>
    <t>Short-term debts owed to suppliers for goods and services received.</t>
  </si>
  <si>
    <t>2020</t>
  </si>
  <si>
    <t>Credit Card Payable</t>
  </si>
  <si>
    <t>Outstanding corporate credit card balances due.</t>
  </si>
  <si>
    <t>2030</t>
  </si>
  <si>
    <t>Lines of Credit Payable</t>
  </si>
  <si>
    <t>Drawn balances on revolving bank credit lines.</t>
  </si>
  <si>
    <t>2110</t>
  </si>
  <si>
    <t>Accrued Payroll</t>
  </si>
  <si>
    <t>Wages earned by workers but not yet disbursed at period close.</t>
  </si>
  <si>
    <t>2120</t>
  </si>
  <si>
    <t>Payroll Taxes Payable</t>
  </si>
  <si>
    <t>Employee tax withholdings and employer payroll taxes due.</t>
  </si>
  <si>
    <t>2130</t>
  </si>
  <si>
    <t>Sales &amp; GST/VAT Tax Payable</t>
  </si>
  <si>
    <t>Sales or value-added taxes collected from customers awaiting remittance.</t>
  </si>
  <si>
    <t>2140</t>
  </si>
  <si>
    <t>Accrued Interest Payable</t>
  </si>
  <si>
    <t>Interest expense incurred on debt instruments not yet paid.</t>
  </si>
  <si>
    <t>2150</t>
  </si>
  <si>
    <t>Accrued Utilities</t>
  </si>
  <si>
    <t>Estimated utility costs consumed but awaiting invoice billing.</t>
  </si>
  <si>
    <t>2160</t>
  </si>
  <si>
    <t>Accrued Rent Payable</t>
  </si>
  <si>
    <t>Lease liabilities incurred but unpaid at period end.</t>
  </si>
  <si>
    <t>2210</t>
  </si>
  <si>
    <t>Unearned / Deferred Revenue</t>
  </si>
  <si>
    <t>Prepayments received from customers for pending deliveries.</t>
  </si>
  <si>
    <t>2220</t>
  </si>
  <si>
    <t>Customer Deposits</t>
  </si>
  <si>
    <t>Security deposits or advance retainers held on behalf of clients.</t>
  </si>
  <si>
    <t>2310</t>
  </si>
  <si>
    <t>Short-Term Notes Payable</t>
  </si>
  <si>
    <t>Formal written loan obligations maturing within 12 months.</t>
  </si>
  <si>
    <t>2320</t>
  </si>
  <si>
    <t>Current Portion of Long-Term Debt</t>
  </si>
  <si>
    <t>Principal portion of long-term loans maturing within the coming year.</t>
  </si>
  <si>
    <t>2510</t>
  </si>
  <si>
    <t>Long-Term Notes Payable</t>
  </si>
  <si>
    <t>Long-Term Liability</t>
  </si>
  <si>
    <t>Formal loans and financing agreements due after one year.</t>
  </si>
  <si>
    <t>2520</t>
  </si>
  <si>
    <t>Mortgages Payable</t>
  </si>
  <si>
    <t>Long-term debt secured by commercial real estate properties.</t>
  </si>
  <si>
    <t>2530</t>
  </si>
  <si>
    <t>Bonds Payable</t>
  </si>
  <si>
    <t>Par value of corporate debt securities issued to public investors.</t>
  </si>
  <si>
    <t>2540</t>
  </si>
  <si>
    <t>Long-Term Lease Liabilities</t>
  </si>
  <si>
    <t>Financial obligations under capital and operating facility leases.</t>
  </si>
  <si>
    <t>2550</t>
  </si>
  <si>
    <t>Equipment Loans Payable</t>
  </si>
  <si>
    <t>Long-term financing agreements tied directly to machinery purchases.</t>
  </si>
  <si>
    <t>2610</t>
  </si>
  <si>
    <t>Deferred Income Tax Liability</t>
  </si>
  <si>
    <t>Tax liabilities accrued due to temporary accounting differences.</t>
  </si>
  <si>
    <t>2710</t>
  </si>
  <si>
    <t>Other Long-Term Liabilities</t>
  </si>
  <si>
    <t>Miscellaneous non-current debts due beyond 12 months.</t>
  </si>
  <si>
    <t>3010</t>
  </si>
  <si>
    <t>Common Stock</t>
  </si>
  <si>
    <t>Total par value of common voting shares issued to shareholders.</t>
  </si>
  <si>
    <t>3020</t>
  </si>
  <si>
    <t>Preferred Stock</t>
  </si>
  <si>
    <t>Par value of non-voting preferred shares issued.</t>
  </si>
  <si>
    <t>3110</t>
  </si>
  <si>
    <t>Additional Paid-In Capital</t>
  </si>
  <si>
    <t>Capital received from shareholders above share par value.</t>
  </si>
  <si>
    <t>3210</t>
  </si>
  <si>
    <t>Retained Earnings</t>
  </si>
  <si>
    <t>Cumulative profits reinvested in the firm since inception.</t>
  </si>
  <si>
    <t>3310</t>
  </si>
  <si>
    <t>Owner / Partner Capital</t>
  </si>
  <si>
    <t>Direct equity investments made by sole proprietors or partners.</t>
  </si>
  <si>
    <t>3320</t>
  </si>
  <si>
    <t>Owner / Partner Draws</t>
  </si>
  <si>
    <t>Capital withdrawals taken by owners or business partners.</t>
  </si>
  <si>
    <t>3410</t>
  </si>
  <si>
    <t>Treasury Stock</t>
  </si>
  <si>
    <t>Cost of company's own shares repurchased from the market.</t>
  </si>
  <si>
    <t>3510</t>
  </si>
  <si>
    <t>Accumulated Other Comprehensive Income</t>
  </si>
  <si>
    <t>Unrealized balance sheet gains or losses under GAAP/IFRS.</t>
  </si>
  <si>
    <t>3610</t>
  </si>
  <si>
    <t>Dividends Declared</t>
  </si>
  <si>
    <t>Approved dividend distributions declared to equity holders.</t>
  </si>
  <si>
    <t>3710</t>
  </si>
  <si>
    <t>Opening Balance Equity</t>
  </si>
  <si>
    <t>System account used during initial setup to balance starting entry balances.</t>
  </si>
  <si>
    <t>4010</t>
  </si>
  <si>
    <t>Product Sales Revenue</t>
  </si>
  <si>
    <t>Revenue</t>
  </si>
  <si>
    <t>Operating Revenue</t>
  </si>
  <si>
    <t>Gross income derived from selling manufactured physical goods.</t>
  </si>
  <si>
    <t>4020</t>
  </si>
  <si>
    <t>Service Revenue</t>
  </si>
  <si>
    <t>Income earned from performing specialized client services.</t>
  </si>
  <si>
    <t>4030</t>
  </si>
  <si>
    <t>Consulting &amp; Advisory Revenue</t>
  </si>
  <si>
    <t>Fees charged for expert management and strategy consulting.</t>
  </si>
  <si>
    <t>4040</t>
  </si>
  <si>
    <t>Subscription Revenue</t>
  </si>
  <si>
    <t>Recurring contracted income from software or service tiers.</t>
  </si>
  <si>
    <t>4050</t>
  </si>
  <si>
    <t>Licensing &amp; Royalty Income</t>
  </si>
  <si>
    <t>Revenue generated from licensing IP, software, or brand assets.</t>
  </si>
  <si>
    <t>4060</t>
  </si>
  <si>
    <t>Maintenance &amp; Support Revenue</t>
  </si>
  <si>
    <t>Fees for ongoing technical support and contract maintenance.</t>
  </si>
  <si>
    <t>4110</t>
  </si>
  <si>
    <t>Sales Discounts</t>
  </si>
  <si>
    <t>Contra-Revenue</t>
  </si>
  <si>
    <t>Price reductions awarded to clients for early invoice settlement.</t>
  </si>
  <si>
    <t>4120</t>
  </si>
  <si>
    <t>Sales Returns &amp; Allowances</t>
  </si>
  <si>
    <t>Credits or refunds issued for returned or unsatisfactory goods.</t>
  </si>
  <si>
    <t>4510</t>
  </si>
  <si>
    <t>Interest Income</t>
  </si>
  <si>
    <t>Non-Operating Revenue</t>
  </si>
  <si>
    <t>Earnings accrued on savings accounts and cash equivalents.</t>
  </si>
  <si>
    <t>4520</t>
  </si>
  <si>
    <t>Dividend Income</t>
  </si>
  <si>
    <t>Dividends collected from external financial investments.</t>
  </si>
  <si>
    <t>4530</t>
  </si>
  <si>
    <t>Gain on Sale of Fixed Assets</t>
  </si>
  <si>
    <t>Profit realized when selling fixed assets above net book value.</t>
  </si>
  <si>
    <t>4540</t>
  </si>
  <si>
    <t>Rental Income</t>
  </si>
  <si>
    <t>Income earned from subleasing unused facility space.</t>
  </si>
  <si>
    <t>4550</t>
  </si>
  <si>
    <t>Foreign Exchange Gain</t>
  </si>
  <si>
    <t>Realized profits from foreign currency transaction conversions.</t>
  </si>
  <si>
    <t>4560</t>
  </si>
  <si>
    <t>Vendor Rebates &amp; Discounts</t>
  </si>
  <si>
    <t>Volume cash back or volume rebates returned by suppliers.</t>
  </si>
  <si>
    <t>4570</t>
  </si>
  <si>
    <t>Miscellaneous Non-Operating Revenue</t>
  </si>
  <si>
    <t>Secondary income outside core operational business activities.</t>
  </si>
  <si>
    <t>5010</t>
  </si>
  <si>
    <t>Direct Raw Materials</t>
  </si>
  <si>
    <t>COGS</t>
  </si>
  <si>
    <t>Cost of Goods Sold</t>
  </si>
  <si>
    <t>Primary raw materials consumed in generating product inventory.</t>
  </si>
  <si>
    <t>5020</t>
  </si>
  <si>
    <t>Direct Labor</t>
  </si>
  <si>
    <t>Wages paid directly to production workers and assembly personnel.</t>
  </si>
  <si>
    <t>5030</t>
  </si>
  <si>
    <t>Subcontractor &amp; Outsourced Services</t>
  </si>
  <si>
    <t>Third-party contractor labor directly attributable to project fulfillment.</t>
  </si>
  <si>
    <t>5110</t>
  </si>
  <si>
    <t>Freight-In &amp; Customs Duties</t>
  </si>
  <si>
    <t>Inbound shipping, tariffs, and customs duties on acquired inventory.</t>
  </si>
  <si>
    <t>5210</t>
  </si>
  <si>
    <t>Merchant Payment Processing Fees</t>
  </si>
  <si>
    <t>Transaction fees charged by credit payment gateways on direct revenue.</t>
  </si>
  <si>
    <t>5310</t>
  </si>
  <si>
    <t>Factory Overhead &amp; Utilities</t>
  </si>
  <si>
    <t>Utility and operational expenses directly sustaining manufacturing facilities.</t>
  </si>
  <si>
    <t>5410</t>
  </si>
  <si>
    <t>Packaging &amp; Fulfillment Materials</t>
  </si>
  <si>
    <t>Boxes, labels, and protective wrapping used for product delivery.</t>
  </si>
  <si>
    <t>5510</t>
  </si>
  <si>
    <t>Inventory Shrinkage &amp; Spoilage</t>
  </si>
  <si>
    <t>Losses resulting from inventory theft, expiration, or physical damage.</t>
  </si>
  <si>
    <t>5610</t>
  </si>
  <si>
    <t>Equipment Rental for Jobs</t>
  </si>
  <si>
    <t>Short-term machinery rentals dedicated to specific client contracts.</t>
  </si>
  <si>
    <t>5710</t>
  </si>
  <si>
    <t>Warranty Expense</t>
  </si>
  <si>
    <t>Estimated costs allocated to fulfill product warranties and repairs.</t>
  </si>
  <si>
    <t>6010</t>
  </si>
  <si>
    <t>Salaries &amp; Executive Compensation</t>
  </si>
  <si>
    <t>Expense</t>
  </si>
  <si>
    <t>Operating Expense</t>
  </si>
  <si>
    <t>Base compensation for executive, administrative, and office staff.</t>
  </si>
  <si>
    <t>6020</t>
  </si>
  <si>
    <t>Employer Payroll Taxes</t>
  </si>
  <si>
    <t>Mandatory employer contributions for state and federal payroll taxes.</t>
  </si>
  <si>
    <t>6030</t>
  </si>
  <si>
    <t>Employee Health &amp; Medical Benefits</t>
  </si>
  <si>
    <t>Company contributions toward group health, dental, and vision insurance.</t>
  </si>
  <si>
    <t>6040</t>
  </si>
  <si>
    <t>Retirement Plan Matching</t>
  </si>
  <si>
    <t>Matching contributions made to employee 401(k) or pension plans.</t>
  </si>
  <si>
    <t>6110</t>
  </si>
  <si>
    <t>Facility Rent Expense</t>
  </si>
  <si>
    <t>Monthly rental expense for administrative offices and headquarters.</t>
  </si>
  <si>
    <t>6120</t>
  </si>
  <si>
    <t>Utilities Expense</t>
  </si>
  <si>
    <t>Electricity, gas, water, and trash services for office locations.</t>
  </si>
  <si>
    <t>6130</t>
  </si>
  <si>
    <t>Telecommunications &amp; Internet</t>
  </si>
  <si>
    <t>Corporate mobile lines, internet connectivity, and phone systems.</t>
  </si>
  <si>
    <t>6210</t>
  </si>
  <si>
    <t>Advertising &amp; Digital Marketing</t>
  </si>
  <si>
    <t>Ad campaigns, social media marketing, SEO, and agency fees.</t>
  </si>
  <si>
    <t>6220</t>
  </si>
  <si>
    <t>SaaS &amp; Software Licensing</t>
  </si>
  <si>
    <t>Cloud tools, enterprise software platforms, and digital applications.</t>
  </si>
  <si>
    <t>6310</t>
  </si>
  <si>
    <t>Office Consumables &amp; Supplies</t>
  </si>
  <si>
    <t>General stationery, printing paper, toner, and kitchen supplies.</t>
  </si>
  <si>
    <t>6410</t>
  </si>
  <si>
    <t>Legal &amp; Professional Fees</t>
  </si>
  <si>
    <t>Legal retainers, attorney fees, corporate governance costs.</t>
  </si>
  <si>
    <t>6420</t>
  </si>
  <si>
    <t>Accounting &amp; Audit Fees</t>
  </si>
  <si>
    <t>External CPA services, tax preparation, and independent audits.</t>
  </si>
  <si>
    <t>6510</t>
  </si>
  <si>
    <t>Commercial Insurance Expense</t>
  </si>
  <si>
    <t>Property, general liability, D&amp;O, and cyber liability insurance.</t>
  </si>
  <si>
    <t>6520</t>
  </si>
  <si>
    <t>Depreciation Expense</t>
  </si>
  <si>
    <t>Systemic write-down of tangible fixed assets over useful life.</t>
  </si>
  <si>
    <t>6530</t>
  </si>
  <si>
    <t>Amortization Expense</t>
  </si>
  <si>
    <t>Systemic write-down of intangible assets over designated terms.</t>
  </si>
  <si>
    <t>CHART OF ACCOUNTS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</si>
</sst>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b/>
      <sz val="10"/>
      <color rgb="FFFFFFFF"/>
      <name val="Segoe UI"/>
    </font>
    <font>
      <sz val="10"/>
      <name val="Segoe UI"/>
    </font>
    <font>
      <sz val="11"/>
      <color theme="1"/>
      <name val="Calibri"/>
      <family val="2"/>
    </font>
    <font>
      <b/>
      <sz val="11"/>
      <color rgb="FF2E4053"/>
      <name val="Calibri"/>
      <family val="2"/>
    </font>
    <font>
      <sz val="11"/>
      <name val="Calibri"/>
      <family val="2"/>
    </font>
    <font>
      <b/>
      <sz val="12"/>
      <color rgb="FFFFFFFF"/>
      <name val="Calibri"/>
      <family val="2"/>
    </font>
    <font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5597"/>
        <bgColor rgb="FF2F5597"/>
      </patternFill>
    </fill>
    <fill>
      <patternFill patternType="solid">
        <fgColor rgb="FFF9FAFB"/>
        <bgColor rgb="FFF9FAFB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indexed="64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 style="thin">
        <color rgb="FFD9D9D9"/>
      </right>
      <top style="thin">
        <color rgb="FFD9D9D9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indexed="64"/>
      </bottom>
      <diagonal/>
    </border>
    <border>
      <left style="thin">
        <color rgb="FFD9D9D9"/>
      </left>
      <right style="medium">
        <color indexed="64"/>
      </right>
      <top style="thin">
        <color rgb="FFD9D9D9"/>
      </top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right"/>
    </xf>
    <xf numFmtId="0" fontId="1" fillId="2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2" fillId="3" borderId="5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3" fillId="0" borderId="7" xfId="0" applyFont="1" applyBorder="1"/>
    <xf numFmtId="0" fontId="3" fillId="0" borderId="8" xfId="0" applyFont="1" applyBorder="1" applyAlignment="1">
      <alignment horizontal="center"/>
    </xf>
    <xf numFmtId="0" fontId="3" fillId="0" borderId="9" xfId="0" applyFont="1" applyBorder="1"/>
    <xf numFmtId="0" fontId="3" fillId="0" borderId="10" xfId="0" applyFont="1" applyBorder="1" applyAlignment="1">
      <alignment horizontal="center"/>
    </xf>
    <xf numFmtId="3" fontId="3" fillId="0" borderId="10" xfId="0" applyNumberFormat="1" applyFont="1" applyBorder="1" applyAlignment="1">
      <alignment horizontal="right"/>
    </xf>
    <xf numFmtId="0" fontId="3" fillId="0" borderId="11" xfId="0" applyFont="1" applyBorder="1" applyAlignment="1">
      <alignment horizontal="center"/>
    </xf>
    <xf numFmtId="0" fontId="4" fillId="0" borderId="0" xfId="0" applyFont="1"/>
    <xf numFmtId="0" fontId="6" fillId="4" borderId="1" xfId="0" applyFont="1" applyFill="1" applyBorder="1"/>
    <xf numFmtId="0" fontId="6" fillId="4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/>
    </xf>
    <xf numFmtId="0" fontId="6" fillId="4" borderId="8" xfId="0" applyFont="1" applyFill="1" applyBorder="1"/>
    <xf numFmtId="0" fontId="5" fillId="0" borderId="7" xfId="0" applyFont="1" applyBorder="1" applyAlignment="1">
      <alignment horizontal="center"/>
    </xf>
    <xf numFmtId="0" fontId="6" fillId="0" borderId="8" xfId="0" applyFont="1" applyBorder="1"/>
    <xf numFmtId="0" fontId="5" fillId="0" borderId="9" xfId="0" applyFont="1" applyBorder="1" applyAlignment="1">
      <alignment horizontal="center"/>
    </xf>
    <xf numFmtId="0" fontId="6" fillId="0" borderId="10" xfId="0" applyFont="1" applyBorder="1"/>
    <xf numFmtId="0" fontId="6" fillId="0" borderId="10" xfId="0" applyFont="1" applyBorder="1" applyAlignment="1">
      <alignment horizontal="center"/>
    </xf>
    <xf numFmtId="0" fontId="6" fillId="0" borderId="1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zoomScale="120" zoomScaleNormal="120" workbookViewId="0">
      <selection activeCell="A3" sqref="A3"/>
    </sheetView>
  </sheetViews>
  <sheetFormatPr baseColWidth="10" defaultColWidth="8.83203125" defaultRowHeight="15" x14ac:dyDescent="0.2"/>
  <cols>
    <col min="1" max="1" width="28" customWidth="1"/>
    <col min="2" max="2" width="16" customWidth="1"/>
    <col min="3" max="4" width="18" customWidth="1"/>
  </cols>
  <sheetData>
    <row r="1" spans="1:4" x14ac:dyDescent="0.2">
      <c r="A1" s="3" t="s">
        <v>337</v>
      </c>
      <c r="B1" s="4"/>
      <c r="C1" s="4"/>
      <c r="D1" s="5"/>
    </row>
    <row r="2" spans="1:4" x14ac:dyDescent="0.2">
      <c r="A2" s="6"/>
      <c r="B2" s="7"/>
      <c r="C2" s="7"/>
      <c r="D2" s="8"/>
    </row>
    <row r="3" spans="1:4" x14ac:dyDescent="0.2">
      <c r="A3" s="9"/>
      <c r="B3" s="10"/>
      <c r="C3" s="10"/>
      <c r="D3" s="11"/>
    </row>
    <row r="4" spans="1:4" x14ac:dyDescent="0.2">
      <c r="A4" s="12" t="s">
        <v>0</v>
      </c>
      <c r="B4" s="13" t="s">
        <v>1</v>
      </c>
      <c r="C4" s="13" t="s">
        <v>2</v>
      </c>
      <c r="D4" s="14" t="s">
        <v>3</v>
      </c>
    </row>
    <row r="5" spans="1:4" x14ac:dyDescent="0.2">
      <c r="A5" s="15" t="s">
        <v>4</v>
      </c>
      <c r="B5" s="1" t="s">
        <v>5</v>
      </c>
      <c r="C5" s="2">
        <f>COUNTIF('Chart of Accounts'!C2:C101, "Asset")</f>
        <v>30</v>
      </c>
      <c r="D5" s="16" t="s">
        <v>6</v>
      </c>
    </row>
    <row r="6" spans="1:4" x14ac:dyDescent="0.2">
      <c r="A6" s="15" t="s">
        <v>7</v>
      </c>
      <c r="B6" s="1" t="s">
        <v>8</v>
      </c>
      <c r="C6" s="2">
        <f>COUNTIF('Chart of Accounts'!C2:C101, "Liability")</f>
        <v>20</v>
      </c>
      <c r="D6" s="16" t="s">
        <v>9</v>
      </c>
    </row>
    <row r="7" spans="1:4" x14ac:dyDescent="0.2">
      <c r="A7" s="15" t="s">
        <v>10</v>
      </c>
      <c r="B7" s="1" t="s">
        <v>11</v>
      </c>
      <c r="C7" s="2">
        <f>COUNTIF('Chart of Accounts'!C2:C101, "Equity")</f>
        <v>10</v>
      </c>
      <c r="D7" s="16" t="s">
        <v>9</v>
      </c>
    </row>
    <row r="8" spans="1:4" x14ac:dyDescent="0.2">
      <c r="A8" s="15" t="s">
        <v>12</v>
      </c>
      <c r="B8" s="1" t="s">
        <v>13</v>
      </c>
      <c r="C8" s="2">
        <f>COUNTIF('Chart of Accounts'!C2:C101, "Revenue")</f>
        <v>15</v>
      </c>
      <c r="D8" s="16" t="s">
        <v>9</v>
      </c>
    </row>
    <row r="9" spans="1:4" x14ac:dyDescent="0.2">
      <c r="A9" s="15" t="s">
        <v>14</v>
      </c>
      <c r="B9" s="1" t="s">
        <v>15</v>
      </c>
      <c r="C9" s="2">
        <f>COUNTIF('Chart of Accounts'!C2:C101, "COGS")</f>
        <v>10</v>
      </c>
      <c r="D9" s="16" t="s">
        <v>6</v>
      </c>
    </row>
    <row r="10" spans="1:4" ht="16" thickBot="1" x14ac:dyDescent="0.25">
      <c r="A10" s="17" t="s">
        <v>16</v>
      </c>
      <c r="B10" s="18" t="s">
        <v>17</v>
      </c>
      <c r="C10" s="19">
        <f>COUNTIF('Chart of Accounts'!C2:C101, "Expense")</f>
        <v>15</v>
      </c>
      <c r="D10" s="20" t="s">
        <v>6</v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1"/>
  <sheetViews>
    <sheetView tabSelected="1" workbookViewId="0">
      <pane ySplit="1" topLeftCell="A2" activePane="bottomLeft" state="frozen"/>
      <selection pane="bottomLeft" activeCell="I10" sqref="I10"/>
    </sheetView>
  </sheetViews>
  <sheetFormatPr baseColWidth="10" defaultColWidth="8.83203125" defaultRowHeight="15" x14ac:dyDescent="0.2"/>
  <cols>
    <col min="1" max="1" width="19.83203125" style="21" bestFit="1" customWidth="1"/>
    <col min="2" max="2" width="38.5" style="21" bestFit="1" customWidth="1"/>
    <col min="3" max="3" width="20.5" style="21" bestFit="1" customWidth="1"/>
    <col min="4" max="4" width="19.1640625" style="21" bestFit="1" customWidth="1"/>
    <col min="5" max="5" width="19.33203125" style="21" bestFit="1" customWidth="1"/>
    <col min="6" max="6" width="59.6640625" style="21" bestFit="1" customWidth="1"/>
    <col min="7" max="16384" width="8.83203125" style="21"/>
  </cols>
  <sheetData>
    <row r="1" spans="1:6" s="26" customFormat="1" ht="16" x14ac:dyDescent="0.2">
      <c r="A1" s="27" t="s">
        <v>18</v>
      </c>
      <c r="B1" s="28" t="s">
        <v>19</v>
      </c>
      <c r="C1" s="28" t="s">
        <v>0</v>
      </c>
      <c r="D1" s="28" t="s">
        <v>20</v>
      </c>
      <c r="E1" s="28" t="s">
        <v>3</v>
      </c>
      <c r="F1" s="29" t="s">
        <v>21</v>
      </c>
    </row>
    <row r="2" spans="1:6" x14ac:dyDescent="0.2">
      <c r="A2" s="30" t="s">
        <v>22</v>
      </c>
      <c r="B2" s="22" t="s">
        <v>23</v>
      </c>
      <c r="C2" s="23" t="s">
        <v>24</v>
      </c>
      <c r="D2" s="22" t="s">
        <v>25</v>
      </c>
      <c r="E2" s="23" t="s">
        <v>6</v>
      </c>
      <c r="F2" s="31" t="s">
        <v>26</v>
      </c>
    </row>
    <row r="3" spans="1:6" x14ac:dyDescent="0.2">
      <c r="A3" s="32" t="s">
        <v>27</v>
      </c>
      <c r="B3" s="24" t="s">
        <v>28</v>
      </c>
      <c r="C3" s="25" t="s">
        <v>24</v>
      </c>
      <c r="D3" s="24" t="s">
        <v>25</v>
      </c>
      <c r="E3" s="25" t="s">
        <v>6</v>
      </c>
      <c r="F3" s="33" t="s">
        <v>29</v>
      </c>
    </row>
    <row r="4" spans="1:6" x14ac:dyDescent="0.2">
      <c r="A4" s="30" t="s">
        <v>30</v>
      </c>
      <c r="B4" s="22" t="s">
        <v>31</v>
      </c>
      <c r="C4" s="23" t="s">
        <v>24</v>
      </c>
      <c r="D4" s="22" t="s">
        <v>25</v>
      </c>
      <c r="E4" s="23" t="s">
        <v>6</v>
      </c>
      <c r="F4" s="31" t="s">
        <v>32</v>
      </c>
    </row>
    <row r="5" spans="1:6" x14ac:dyDescent="0.2">
      <c r="A5" s="32" t="s">
        <v>33</v>
      </c>
      <c r="B5" s="24" t="s">
        <v>34</v>
      </c>
      <c r="C5" s="25" t="s">
        <v>24</v>
      </c>
      <c r="D5" s="24" t="s">
        <v>25</v>
      </c>
      <c r="E5" s="25" t="s">
        <v>6</v>
      </c>
      <c r="F5" s="33" t="s">
        <v>35</v>
      </c>
    </row>
    <row r="6" spans="1:6" x14ac:dyDescent="0.2">
      <c r="A6" s="30" t="s">
        <v>36</v>
      </c>
      <c r="B6" s="22" t="s">
        <v>37</v>
      </c>
      <c r="C6" s="23" t="s">
        <v>24</v>
      </c>
      <c r="D6" s="22" t="s">
        <v>25</v>
      </c>
      <c r="E6" s="23" t="s">
        <v>6</v>
      </c>
      <c r="F6" s="31" t="s">
        <v>38</v>
      </c>
    </row>
    <row r="7" spans="1:6" x14ac:dyDescent="0.2">
      <c r="A7" s="32" t="s">
        <v>39</v>
      </c>
      <c r="B7" s="24" t="s">
        <v>40</v>
      </c>
      <c r="C7" s="25" t="s">
        <v>24</v>
      </c>
      <c r="D7" s="24" t="s">
        <v>25</v>
      </c>
      <c r="E7" s="25" t="s">
        <v>9</v>
      </c>
      <c r="F7" s="33" t="s">
        <v>41</v>
      </c>
    </row>
    <row r="8" spans="1:6" x14ac:dyDescent="0.2">
      <c r="A8" s="30" t="s">
        <v>42</v>
      </c>
      <c r="B8" s="22" t="s">
        <v>43</v>
      </c>
      <c r="C8" s="23" t="s">
        <v>24</v>
      </c>
      <c r="D8" s="22" t="s">
        <v>25</v>
      </c>
      <c r="E8" s="23" t="s">
        <v>6</v>
      </c>
      <c r="F8" s="31" t="s">
        <v>44</v>
      </c>
    </row>
    <row r="9" spans="1:6" x14ac:dyDescent="0.2">
      <c r="A9" s="32" t="s">
        <v>45</v>
      </c>
      <c r="B9" s="24" t="s">
        <v>46</v>
      </c>
      <c r="C9" s="25" t="s">
        <v>24</v>
      </c>
      <c r="D9" s="24" t="s">
        <v>25</v>
      </c>
      <c r="E9" s="25" t="s">
        <v>6</v>
      </c>
      <c r="F9" s="33" t="s">
        <v>47</v>
      </c>
    </row>
    <row r="10" spans="1:6" x14ac:dyDescent="0.2">
      <c r="A10" s="30" t="s">
        <v>48</v>
      </c>
      <c r="B10" s="22" t="s">
        <v>49</v>
      </c>
      <c r="C10" s="23" t="s">
        <v>24</v>
      </c>
      <c r="D10" s="22" t="s">
        <v>25</v>
      </c>
      <c r="E10" s="23" t="s">
        <v>6</v>
      </c>
      <c r="F10" s="31" t="s">
        <v>50</v>
      </c>
    </row>
    <row r="11" spans="1:6" x14ac:dyDescent="0.2">
      <c r="A11" s="32" t="s">
        <v>51</v>
      </c>
      <c r="B11" s="24" t="s">
        <v>52</v>
      </c>
      <c r="C11" s="25" t="s">
        <v>24</v>
      </c>
      <c r="D11" s="24" t="s">
        <v>25</v>
      </c>
      <c r="E11" s="25" t="s">
        <v>6</v>
      </c>
      <c r="F11" s="33" t="s">
        <v>53</v>
      </c>
    </row>
    <row r="12" spans="1:6" x14ac:dyDescent="0.2">
      <c r="A12" s="30" t="s">
        <v>54</v>
      </c>
      <c r="B12" s="22" t="s">
        <v>55</v>
      </c>
      <c r="C12" s="23" t="s">
        <v>24</v>
      </c>
      <c r="D12" s="22" t="s">
        <v>25</v>
      </c>
      <c r="E12" s="23" t="s">
        <v>6</v>
      </c>
      <c r="F12" s="31" t="s">
        <v>56</v>
      </c>
    </row>
    <row r="13" spans="1:6" x14ac:dyDescent="0.2">
      <c r="A13" s="32" t="s">
        <v>57</v>
      </c>
      <c r="B13" s="24" t="s">
        <v>58</v>
      </c>
      <c r="C13" s="25" t="s">
        <v>24</v>
      </c>
      <c r="D13" s="24" t="s">
        <v>25</v>
      </c>
      <c r="E13" s="25" t="s">
        <v>9</v>
      </c>
      <c r="F13" s="33" t="s">
        <v>59</v>
      </c>
    </row>
    <row r="14" spans="1:6" x14ac:dyDescent="0.2">
      <c r="A14" s="30" t="s">
        <v>60</v>
      </c>
      <c r="B14" s="22" t="s">
        <v>61</v>
      </c>
      <c r="C14" s="23" t="s">
        <v>24</v>
      </c>
      <c r="D14" s="22" t="s">
        <v>25</v>
      </c>
      <c r="E14" s="23" t="s">
        <v>6</v>
      </c>
      <c r="F14" s="31" t="s">
        <v>62</v>
      </c>
    </row>
    <row r="15" spans="1:6" x14ac:dyDescent="0.2">
      <c r="A15" s="32" t="s">
        <v>63</v>
      </c>
      <c r="B15" s="24" t="s">
        <v>64</v>
      </c>
      <c r="C15" s="25" t="s">
        <v>24</v>
      </c>
      <c r="D15" s="24" t="s">
        <v>25</v>
      </c>
      <c r="E15" s="25" t="s">
        <v>6</v>
      </c>
      <c r="F15" s="33" t="s">
        <v>65</v>
      </c>
    </row>
    <row r="16" spans="1:6" x14ac:dyDescent="0.2">
      <c r="A16" s="30" t="s">
        <v>66</v>
      </c>
      <c r="B16" s="22" t="s">
        <v>67</v>
      </c>
      <c r="C16" s="23" t="s">
        <v>24</v>
      </c>
      <c r="D16" s="22" t="s">
        <v>25</v>
      </c>
      <c r="E16" s="23" t="s">
        <v>6</v>
      </c>
      <c r="F16" s="31" t="s">
        <v>68</v>
      </c>
    </row>
    <row r="17" spans="1:6" x14ac:dyDescent="0.2">
      <c r="A17" s="32" t="s">
        <v>69</v>
      </c>
      <c r="B17" s="24" t="s">
        <v>70</v>
      </c>
      <c r="C17" s="25" t="s">
        <v>24</v>
      </c>
      <c r="D17" s="24" t="s">
        <v>25</v>
      </c>
      <c r="E17" s="25" t="s">
        <v>6</v>
      </c>
      <c r="F17" s="33" t="s">
        <v>71</v>
      </c>
    </row>
    <row r="18" spans="1:6" x14ac:dyDescent="0.2">
      <c r="A18" s="30" t="s">
        <v>72</v>
      </c>
      <c r="B18" s="22" t="s">
        <v>73</v>
      </c>
      <c r="C18" s="23" t="s">
        <v>24</v>
      </c>
      <c r="D18" s="22" t="s">
        <v>25</v>
      </c>
      <c r="E18" s="23" t="s">
        <v>6</v>
      </c>
      <c r="F18" s="31" t="s">
        <v>74</v>
      </c>
    </row>
    <row r="19" spans="1:6" x14ac:dyDescent="0.2">
      <c r="A19" s="32" t="s">
        <v>75</v>
      </c>
      <c r="B19" s="24" t="s">
        <v>76</v>
      </c>
      <c r="C19" s="25" t="s">
        <v>24</v>
      </c>
      <c r="D19" s="24" t="s">
        <v>25</v>
      </c>
      <c r="E19" s="25" t="s">
        <v>6</v>
      </c>
      <c r="F19" s="33" t="s">
        <v>77</v>
      </c>
    </row>
    <row r="20" spans="1:6" x14ac:dyDescent="0.2">
      <c r="A20" s="30" t="s">
        <v>78</v>
      </c>
      <c r="B20" s="22" t="s">
        <v>79</v>
      </c>
      <c r="C20" s="23" t="s">
        <v>24</v>
      </c>
      <c r="D20" s="22" t="s">
        <v>80</v>
      </c>
      <c r="E20" s="23" t="s">
        <v>6</v>
      </c>
      <c r="F20" s="31" t="s">
        <v>81</v>
      </c>
    </row>
    <row r="21" spans="1:6" x14ac:dyDescent="0.2">
      <c r="A21" s="32" t="s">
        <v>82</v>
      </c>
      <c r="B21" s="24" t="s">
        <v>83</v>
      </c>
      <c r="C21" s="25" t="s">
        <v>24</v>
      </c>
      <c r="D21" s="24" t="s">
        <v>80</v>
      </c>
      <c r="E21" s="25" t="s">
        <v>6</v>
      </c>
      <c r="F21" s="33" t="s">
        <v>84</v>
      </c>
    </row>
    <row r="22" spans="1:6" x14ac:dyDescent="0.2">
      <c r="A22" s="30" t="s">
        <v>85</v>
      </c>
      <c r="B22" s="22" t="s">
        <v>86</v>
      </c>
      <c r="C22" s="23" t="s">
        <v>24</v>
      </c>
      <c r="D22" s="22" t="s">
        <v>80</v>
      </c>
      <c r="E22" s="23" t="s">
        <v>9</v>
      </c>
      <c r="F22" s="31" t="s">
        <v>87</v>
      </c>
    </row>
    <row r="23" spans="1:6" x14ac:dyDescent="0.2">
      <c r="A23" s="32" t="s">
        <v>88</v>
      </c>
      <c r="B23" s="24" t="s">
        <v>89</v>
      </c>
      <c r="C23" s="25" t="s">
        <v>24</v>
      </c>
      <c r="D23" s="24" t="s">
        <v>80</v>
      </c>
      <c r="E23" s="25" t="s">
        <v>6</v>
      </c>
      <c r="F23" s="33" t="s">
        <v>90</v>
      </c>
    </row>
    <row r="24" spans="1:6" x14ac:dyDescent="0.2">
      <c r="A24" s="30" t="s">
        <v>91</v>
      </c>
      <c r="B24" s="22" t="s">
        <v>92</v>
      </c>
      <c r="C24" s="23" t="s">
        <v>24</v>
      </c>
      <c r="D24" s="22" t="s">
        <v>80</v>
      </c>
      <c r="E24" s="23" t="s">
        <v>9</v>
      </c>
      <c r="F24" s="31" t="s">
        <v>93</v>
      </c>
    </row>
    <row r="25" spans="1:6" x14ac:dyDescent="0.2">
      <c r="A25" s="32" t="s">
        <v>94</v>
      </c>
      <c r="B25" s="24" t="s">
        <v>95</v>
      </c>
      <c r="C25" s="25" t="s">
        <v>24</v>
      </c>
      <c r="D25" s="24" t="s">
        <v>80</v>
      </c>
      <c r="E25" s="25" t="s">
        <v>6</v>
      </c>
      <c r="F25" s="33" t="s">
        <v>96</v>
      </c>
    </row>
    <row r="26" spans="1:6" x14ac:dyDescent="0.2">
      <c r="A26" s="30" t="s">
        <v>97</v>
      </c>
      <c r="B26" s="22" t="s">
        <v>98</v>
      </c>
      <c r="C26" s="23" t="s">
        <v>24</v>
      </c>
      <c r="D26" s="22" t="s">
        <v>80</v>
      </c>
      <c r="E26" s="23" t="s">
        <v>9</v>
      </c>
      <c r="F26" s="31" t="s">
        <v>99</v>
      </c>
    </row>
    <row r="27" spans="1:6" x14ac:dyDescent="0.2">
      <c r="A27" s="32" t="s">
        <v>100</v>
      </c>
      <c r="B27" s="24" t="s">
        <v>101</v>
      </c>
      <c r="C27" s="25" t="s">
        <v>24</v>
      </c>
      <c r="D27" s="24" t="s">
        <v>80</v>
      </c>
      <c r="E27" s="25" t="s">
        <v>6</v>
      </c>
      <c r="F27" s="33" t="s">
        <v>102</v>
      </c>
    </row>
    <row r="28" spans="1:6" x14ac:dyDescent="0.2">
      <c r="A28" s="30" t="s">
        <v>103</v>
      </c>
      <c r="B28" s="22" t="s">
        <v>104</v>
      </c>
      <c r="C28" s="23" t="s">
        <v>24</v>
      </c>
      <c r="D28" s="22" t="s">
        <v>80</v>
      </c>
      <c r="E28" s="23" t="s">
        <v>9</v>
      </c>
      <c r="F28" s="31" t="s">
        <v>105</v>
      </c>
    </row>
    <row r="29" spans="1:6" x14ac:dyDescent="0.2">
      <c r="A29" s="32" t="s">
        <v>106</v>
      </c>
      <c r="B29" s="24" t="s">
        <v>107</v>
      </c>
      <c r="C29" s="25" t="s">
        <v>24</v>
      </c>
      <c r="D29" s="24" t="s">
        <v>80</v>
      </c>
      <c r="E29" s="25" t="s">
        <v>6</v>
      </c>
      <c r="F29" s="33" t="s">
        <v>108</v>
      </c>
    </row>
    <row r="30" spans="1:6" x14ac:dyDescent="0.2">
      <c r="A30" s="30" t="s">
        <v>109</v>
      </c>
      <c r="B30" s="22" t="s">
        <v>110</v>
      </c>
      <c r="C30" s="23" t="s">
        <v>24</v>
      </c>
      <c r="D30" s="22" t="s">
        <v>80</v>
      </c>
      <c r="E30" s="23" t="s">
        <v>9</v>
      </c>
      <c r="F30" s="31" t="s">
        <v>111</v>
      </c>
    </row>
    <row r="31" spans="1:6" x14ac:dyDescent="0.2">
      <c r="A31" s="32" t="s">
        <v>112</v>
      </c>
      <c r="B31" s="24" t="s">
        <v>113</v>
      </c>
      <c r="C31" s="25" t="s">
        <v>24</v>
      </c>
      <c r="D31" s="24" t="s">
        <v>114</v>
      </c>
      <c r="E31" s="25" t="s">
        <v>6</v>
      </c>
      <c r="F31" s="33" t="s">
        <v>115</v>
      </c>
    </row>
    <row r="32" spans="1:6" x14ac:dyDescent="0.2">
      <c r="A32" s="30" t="s">
        <v>116</v>
      </c>
      <c r="B32" s="22" t="s">
        <v>117</v>
      </c>
      <c r="C32" s="23" t="s">
        <v>118</v>
      </c>
      <c r="D32" s="22" t="s">
        <v>119</v>
      </c>
      <c r="E32" s="23" t="s">
        <v>9</v>
      </c>
      <c r="F32" s="31" t="s">
        <v>120</v>
      </c>
    </row>
    <row r="33" spans="1:6" x14ac:dyDescent="0.2">
      <c r="A33" s="32" t="s">
        <v>121</v>
      </c>
      <c r="B33" s="24" t="s">
        <v>122</v>
      </c>
      <c r="C33" s="25" t="s">
        <v>118</v>
      </c>
      <c r="D33" s="24" t="s">
        <v>119</v>
      </c>
      <c r="E33" s="25" t="s">
        <v>9</v>
      </c>
      <c r="F33" s="33" t="s">
        <v>123</v>
      </c>
    </row>
    <row r="34" spans="1:6" x14ac:dyDescent="0.2">
      <c r="A34" s="30" t="s">
        <v>124</v>
      </c>
      <c r="B34" s="22" t="s">
        <v>125</v>
      </c>
      <c r="C34" s="23" t="s">
        <v>118</v>
      </c>
      <c r="D34" s="22" t="s">
        <v>119</v>
      </c>
      <c r="E34" s="23" t="s">
        <v>9</v>
      </c>
      <c r="F34" s="31" t="s">
        <v>126</v>
      </c>
    </row>
    <row r="35" spans="1:6" x14ac:dyDescent="0.2">
      <c r="A35" s="32" t="s">
        <v>127</v>
      </c>
      <c r="B35" s="24" t="s">
        <v>128</v>
      </c>
      <c r="C35" s="25" t="s">
        <v>118</v>
      </c>
      <c r="D35" s="24" t="s">
        <v>119</v>
      </c>
      <c r="E35" s="25" t="s">
        <v>9</v>
      </c>
      <c r="F35" s="33" t="s">
        <v>129</v>
      </c>
    </row>
    <row r="36" spans="1:6" x14ac:dyDescent="0.2">
      <c r="A36" s="30" t="s">
        <v>130</v>
      </c>
      <c r="B36" s="22" t="s">
        <v>131</v>
      </c>
      <c r="C36" s="23" t="s">
        <v>118</v>
      </c>
      <c r="D36" s="22" t="s">
        <v>119</v>
      </c>
      <c r="E36" s="23" t="s">
        <v>9</v>
      </c>
      <c r="F36" s="31" t="s">
        <v>132</v>
      </c>
    </row>
    <row r="37" spans="1:6" x14ac:dyDescent="0.2">
      <c r="A37" s="32" t="s">
        <v>133</v>
      </c>
      <c r="B37" s="24" t="s">
        <v>134</v>
      </c>
      <c r="C37" s="25" t="s">
        <v>118</v>
      </c>
      <c r="D37" s="24" t="s">
        <v>119</v>
      </c>
      <c r="E37" s="25" t="s">
        <v>9</v>
      </c>
      <c r="F37" s="33" t="s">
        <v>135</v>
      </c>
    </row>
    <row r="38" spans="1:6" x14ac:dyDescent="0.2">
      <c r="A38" s="30" t="s">
        <v>136</v>
      </c>
      <c r="B38" s="22" t="s">
        <v>137</v>
      </c>
      <c r="C38" s="23" t="s">
        <v>118</v>
      </c>
      <c r="D38" s="22" t="s">
        <v>119</v>
      </c>
      <c r="E38" s="23" t="s">
        <v>9</v>
      </c>
      <c r="F38" s="31" t="s">
        <v>138</v>
      </c>
    </row>
    <row r="39" spans="1:6" x14ac:dyDescent="0.2">
      <c r="A39" s="32" t="s">
        <v>139</v>
      </c>
      <c r="B39" s="24" t="s">
        <v>140</v>
      </c>
      <c r="C39" s="25" t="s">
        <v>118</v>
      </c>
      <c r="D39" s="24" t="s">
        <v>119</v>
      </c>
      <c r="E39" s="25" t="s">
        <v>9</v>
      </c>
      <c r="F39" s="33" t="s">
        <v>141</v>
      </c>
    </row>
    <row r="40" spans="1:6" x14ac:dyDescent="0.2">
      <c r="A40" s="30" t="s">
        <v>142</v>
      </c>
      <c r="B40" s="22" t="s">
        <v>143</v>
      </c>
      <c r="C40" s="23" t="s">
        <v>118</v>
      </c>
      <c r="D40" s="22" t="s">
        <v>119</v>
      </c>
      <c r="E40" s="23" t="s">
        <v>9</v>
      </c>
      <c r="F40" s="31" t="s">
        <v>144</v>
      </c>
    </row>
    <row r="41" spans="1:6" x14ac:dyDescent="0.2">
      <c r="A41" s="32" t="s">
        <v>145</v>
      </c>
      <c r="B41" s="24" t="s">
        <v>146</v>
      </c>
      <c r="C41" s="25" t="s">
        <v>118</v>
      </c>
      <c r="D41" s="24" t="s">
        <v>119</v>
      </c>
      <c r="E41" s="25" t="s">
        <v>9</v>
      </c>
      <c r="F41" s="33" t="s">
        <v>147</v>
      </c>
    </row>
    <row r="42" spans="1:6" x14ac:dyDescent="0.2">
      <c r="A42" s="30" t="s">
        <v>148</v>
      </c>
      <c r="B42" s="22" t="s">
        <v>149</v>
      </c>
      <c r="C42" s="23" t="s">
        <v>118</v>
      </c>
      <c r="D42" s="22" t="s">
        <v>119</v>
      </c>
      <c r="E42" s="23" t="s">
        <v>9</v>
      </c>
      <c r="F42" s="31" t="s">
        <v>150</v>
      </c>
    </row>
    <row r="43" spans="1:6" x14ac:dyDescent="0.2">
      <c r="A43" s="32" t="s">
        <v>151</v>
      </c>
      <c r="B43" s="24" t="s">
        <v>152</v>
      </c>
      <c r="C43" s="25" t="s">
        <v>118</v>
      </c>
      <c r="D43" s="24" t="s">
        <v>119</v>
      </c>
      <c r="E43" s="25" t="s">
        <v>9</v>
      </c>
      <c r="F43" s="33" t="s">
        <v>153</v>
      </c>
    </row>
    <row r="44" spans="1:6" x14ac:dyDescent="0.2">
      <c r="A44" s="30" t="s">
        <v>154</v>
      </c>
      <c r="B44" s="22" t="s">
        <v>155</v>
      </c>
      <c r="C44" s="23" t="s">
        <v>118</v>
      </c>
      <c r="D44" s="22" t="s">
        <v>119</v>
      </c>
      <c r="E44" s="23" t="s">
        <v>9</v>
      </c>
      <c r="F44" s="31" t="s">
        <v>156</v>
      </c>
    </row>
    <row r="45" spans="1:6" x14ac:dyDescent="0.2">
      <c r="A45" s="32" t="s">
        <v>157</v>
      </c>
      <c r="B45" s="24" t="s">
        <v>158</v>
      </c>
      <c r="C45" s="25" t="s">
        <v>118</v>
      </c>
      <c r="D45" s="24" t="s">
        <v>159</v>
      </c>
      <c r="E45" s="25" t="s">
        <v>9</v>
      </c>
      <c r="F45" s="33" t="s">
        <v>160</v>
      </c>
    </row>
    <row r="46" spans="1:6" x14ac:dyDescent="0.2">
      <c r="A46" s="30" t="s">
        <v>161</v>
      </c>
      <c r="B46" s="22" t="s">
        <v>162</v>
      </c>
      <c r="C46" s="23" t="s">
        <v>118</v>
      </c>
      <c r="D46" s="22" t="s">
        <v>159</v>
      </c>
      <c r="E46" s="23" t="s">
        <v>9</v>
      </c>
      <c r="F46" s="31" t="s">
        <v>163</v>
      </c>
    </row>
    <row r="47" spans="1:6" x14ac:dyDescent="0.2">
      <c r="A47" s="32" t="s">
        <v>164</v>
      </c>
      <c r="B47" s="24" t="s">
        <v>165</v>
      </c>
      <c r="C47" s="25" t="s">
        <v>118</v>
      </c>
      <c r="D47" s="24" t="s">
        <v>159</v>
      </c>
      <c r="E47" s="25" t="s">
        <v>9</v>
      </c>
      <c r="F47" s="33" t="s">
        <v>166</v>
      </c>
    </row>
    <row r="48" spans="1:6" x14ac:dyDescent="0.2">
      <c r="A48" s="30" t="s">
        <v>167</v>
      </c>
      <c r="B48" s="22" t="s">
        <v>168</v>
      </c>
      <c r="C48" s="23" t="s">
        <v>118</v>
      </c>
      <c r="D48" s="22" t="s">
        <v>159</v>
      </c>
      <c r="E48" s="23" t="s">
        <v>9</v>
      </c>
      <c r="F48" s="31" t="s">
        <v>169</v>
      </c>
    </row>
    <row r="49" spans="1:6" x14ac:dyDescent="0.2">
      <c r="A49" s="32" t="s">
        <v>170</v>
      </c>
      <c r="B49" s="24" t="s">
        <v>171</v>
      </c>
      <c r="C49" s="25" t="s">
        <v>118</v>
      </c>
      <c r="D49" s="24" t="s">
        <v>159</v>
      </c>
      <c r="E49" s="25" t="s">
        <v>9</v>
      </c>
      <c r="F49" s="33" t="s">
        <v>172</v>
      </c>
    </row>
    <row r="50" spans="1:6" x14ac:dyDescent="0.2">
      <c r="A50" s="30" t="s">
        <v>173</v>
      </c>
      <c r="B50" s="22" t="s">
        <v>174</v>
      </c>
      <c r="C50" s="23" t="s">
        <v>118</v>
      </c>
      <c r="D50" s="22" t="s">
        <v>159</v>
      </c>
      <c r="E50" s="23" t="s">
        <v>9</v>
      </c>
      <c r="F50" s="31" t="s">
        <v>175</v>
      </c>
    </row>
    <row r="51" spans="1:6" x14ac:dyDescent="0.2">
      <c r="A51" s="32" t="s">
        <v>176</v>
      </c>
      <c r="B51" s="24" t="s">
        <v>177</v>
      </c>
      <c r="C51" s="25" t="s">
        <v>118</v>
      </c>
      <c r="D51" s="24" t="s">
        <v>159</v>
      </c>
      <c r="E51" s="25" t="s">
        <v>9</v>
      </c>
      <c r="F51" s="33" t="s">
        <v>178</v>
      </c>
    </row>
    <row r="52" spans="1:6" x14ac:dyDescent="0.2">
      <c r="A52" s="30" t="s">
        <v>179</v>
      </c>
      <c r="B52" s="22" t="s">
        <v>180</v>
      </c>
      <c r="C52" s="23" t="s">
        <v>10</v>
      </c>
      <c r="D52" s="22" t="s">
        <v>10</v>
      </c>
      <c r="E52" s="23" t="s">
        <v>9</v>
      </c>
      <c r="F52" s="31" t="s">
        <v>181</v>
      </c>
    </row>
    <row r="53" spans="1:6" x14ac:dyDescent="0.2">
      <c r="A53" s="32" t="s">
        <v>182</v>
      </c>
      <c r="B53" s="24" t="s">
        <v>183</v>
      </c>
      <c r="C53" s="25" t="s">
        <v>10</v>
      </c>
      <c r="D53" s="24" t="s">
        <v>10</v>
      </c>
      <c r="E53" s="25" t="s">
        <v>9</v>
      </c>
      <c r="F53" s="33" t="s">
        <v>184</v>
      </c>
    </row>
    <row r="54" spans="1:6" x14ac:dyDescent="0.2">
      <c r="A54" s="30" t="s">
        <v>185</v>
      </c>
      <c r="B54" s="22" t="s">
        <v>186</v>
      </c>
      <c r="C54" s="23" t="s">
        <v>10</v>
      </c>
      <c r="D54" s="22" t="s">
        <v>10</v>
      </c>
      <c r="E54" s="23" t="s">
        <v>9</v>
      </c>
      <c r="F54" s="31" t="s">
        <v>187</v>
      </c>
    </row>
    <row r="55" spans="1:6" x14ac:dyDescent="0.2">
      <c r="A55" s="32" t="s">
        <v>188</v>
      </c>
      <c r="B55" s="24" t="s">
        <v>189</v>
      </c>
      <c r="C55" s="25" t="s">
        <v>10</v>
      </c>
      <c r="D55" s="24" t="s">
        <v>10</v>
      </c>
      <c r="E55" s="25" t="s">
        <v>9</v>
      </c>
      <c r="F55" s="33" t="s">
        <v>190</v>
      </c>
    </row>
    <row r="56" spans="1:6" x14ac:dyDescent="0.2">
      <c r="A56" s="30" t="s">
        <v>191</v>
      </c>
      <c r="B56" s="22" t="s">
        <v>192</v>
      </c>
      <c r="C56" s="23" t="s">
        <v>10</v>
      </c>
      <c r="D56" s="22" t="s">
        <v>10</v>
      </c>
      <c r="E56" s="23" t="s">
        <v>9</v>
      </c>
      <c r="F56" s="31" t="s">
        <v>193</v>
      </c>
    </row>
    <row r="57" spans="1:6" x14ac:dyDescent="0.2">
      <c r="A57" s="32" t="s">
        <v>194</v>
      </c>
      <c r="B57" s="24" t="s">
        <v>195</v>
      </c>
      <c r="C57" s="25" t="s">
        <v>10</v>
      </c>
      <c r="D57" s="24" t="s">
        <v>10</v>
      </c>
      <c r="E57" s="25" t="s">
        <v>6</v>
      </c>
      <c r="F57" s="33" t="s">
        <v>196</v>
      </c>
    </row>
    <row r="58" spans="1:6" x14ac:dyDescent="0.2">
      <c r="A58" s="30" t="s">
        <v>197</v>
      </c>
      <c r="B58" s="22" t="s">
        <v>198</v>
      </c>
      <c r="C58" s="23" t="s">
        <v>10</v>
      </c>
      <c r="D58" s="22" t="s">
        <v>10</v>
      </c>
      <c r="E58" s="23" t="s">
        <v>6</v>
      </c>
      <c r="F58" s="31" t="s">
        <v>199</v>
      </c>
    </row>
    <row r="59" spans="1:6" x14ac:dyDescent="0.2">
      <c r="A59" s="32" t="s">
        <v>200</v>
      </c>
      <c r="B59" s="24" t="s">
        <v>201</v>
      </c>
      <c r="C59" s="25" t="s">
        <v>10</v>
      </c>
      <c r="D59" s="24" t="s">
        <v>10</v>
      </c>
      <c r="E59" s="25" t="s">
        <v>9</v>
      </c>
      <c r="F59" s="33" t="s">
        <v>202</v>
      </c>
    </row>
    <row r="60" spans="1:6" x14ac:dyDescent="0.2">
      <c r="A60" s="30" t="s">
        <v>203</v>
      </c>
      <c r="B60" s="22" t="s">
        <v>204</v>
      </c>
      <c r="C60" s="23" t="s">
        <v>10</v>
      </c>
      <c r="D60" s="22" t="s">
        <v>10</v>
      </c>
      <c r="E60" s="23" t="s">
        <v>6</v>
      </c>
      <c r="F60" s="31" t="s">
        <v>205</v>
      </c>
    </row>
    <row r="61" spans="1:6" x14ac:dyDescent="0.2">
      <c r="A61" s="32" t="s">
        <v>206</v>
      </c>
      <c r="B61" s="24" t="s">
        <v>207</v>
      </c>
      <c r="C61" s="25" t="s">
        <v>10</v>
      </c>
      <c r="D61" s="24" t="s">
        <v>10</v>
      </c>
      <c r="E61" s="25" t="s">
        <v>9</v>
      </c>
      <c r="F61" s="33" t="s">
        <v>208</v>
      </c>
    </row>
    <row r="62" spans="1:6" x14ac:dyDescent="0.2">
      <c r="A62" s="30" t="s">
        <v>209</v>
      </c>
      <c r="B62" s="22" t="s">
        <v>210</v>
      </c>
      <c r="C62" s="23" t="s">
        <v>211</v>
      </c>
      <c r="D62" s="22" t="s">
        <v>212</v>
      </c>
      <c r="E62" s="23" t="s">
        <v>9</v>
      </c>
      <c r="F62" s="31" t="s">
        <v>213</v>
      </c>
    </row>
    <row r="63" spans="1:6" x14ac:dyDescent="0.2">
      <c r="A63" s="32" t="s">
        <v>214</v>
      </c>
      <c r="B63" s="24" t="s">
        <v>215</v>
      </c>
      <c r="C63" s="25" t="s">
        <v>211</v>
      </c>
      <c r="D63" s="24" t="s">
        <v>212</v>
      </c>
      <c r="E63" s="25" t="s">
        <v>9</v>
      </c>
      <c r="F63" s="33" t="s">
        <v>216</v>
      </c>
    </row>
    <row r="64" spans="1:6" x14ac:dyDescent="0.2">
      <c r="A64" s="30" t="s">
        <v>217</v>
      </c>
      <c r="B64" s="22" t="s">
        <v>218</v>
      </c>
      <c r="C64" s="23" t="s">
        <v>211</v>
      </c>
      <c r="D64" s="22" t="s">
        <v>212</v>
      </c>
      <c r="E64" s="23" t="s">
        <v>9</v>
      </c>
      <c r="F64" s="31" t="s">
        <v>219</v>
      </c>
    </row>
    <row r="65" spans="1:6" x14ac:dyDescent="0.2">
      <c r="A65" s="32" t="s">
        <v>220</v>
      </c>
      <c r="B65" s="24" t="s">
        <v>221</v>
      </c>
      <c r="C65" s="25" t="s">
        <v>211</v>
      </c>
      <c r="D65" s="24" t="s">
        <v>212</v>
      </c>
      <c r="E65" s="25" t="s">
        <v>9</v>
      </c>
      <c r="F65" s="33" t="s">
        <v>222</v>
      </c>
    </row>
    <row r="66" spans="1:6" x14ac:dyDescent="0.2">
      <c r="A66" s="30" t="s">
        <v>223</v>
      </c>
      <c r="B66" s="22" t="s">
        <v>224</v>
      </c>
      <c r="C66" s="23" t="s">
        <v>211</v>
      </c>
      <c r="D66" s="22" t="s">
        <v>212</v>
      </c>
      <c r="E66" s="23" t="s">
        <v>9</v>
      </c>
      <c r="F66" s="31" t="s">
        <v>225</v>
      </c>
    </row>
    <row r="67" spans="1:6" x14ac:dyDescent="0.2">
      <c r="A67" s="32" t="s">
        <v>226</v>
      </c>
      <c r="B67" s="24" t="s">
        <v>227</v>
      </c>
      <c r="C67" s="25" t="s">
        <v>211</v>
      </c>
      <c r="D67" s="24" t="s">
        <v>212</v>
      </c>
      <c r="E67" s="25" t="s">
        <v>9</v>
      </c>
      <c r="F67" s="33" t="s">
        <v>228</v>
      </c>
    </row>
    <row r="68" spans="1:6" x14ac:dyDescent="0.2">
      <c r="A68" s="30" t="s">
        <v>229</v>
      </c>
      <c r="B68" s="22" t="s">
        <v>230</v>
      </c>
      <c r="C68" s="23" t="s">
        <v>211</v>
      </c>
      <c r="D68" s="22" t="s">
        <v>231</v>
      </c>
      <c r="E68" s="23" t="s">
        <v>6</v>
      </c>
      <c r="F68" s="31" t="s">
        <v>232</v>
      </c>
    </row>
    <row r="69" spans="1:6" x14ac:dyDescent="0.2">
      <c r="A69" s="32" t="s">
        <v>233</v>
      </c>
      <c r="B69" s="24" t="s">
        <v>234</v>
      </c>
      <c r="C69" s="25" t="s">
        <v>211</v>
      </c>
      <c r="D69" s="24" t="s">
        <v>231</v>
      </c>
      <c r="E69" s="25" t="s">
        <v>6</v>
      </c>
      <c r="F69" s="33" t="s">
        <v>235</v>
      </c>
    </row>
    <row r="70" spans="1:6" x14ac:dyDescent="0.2">
      <c r="A70" s="30" t="s">
        <v>236</v>
      </c>
      <c r="B70" s="22" t="s">
        <v>237</v>
      </c>
      <c r="C70" s="23" t="s">
        <v>211</v>
      </c>
      <c r="D70" s="22" t="s">
        <v>238</v>
      </c>
      <c r="E70" s="23" t="s">
        <v>9</v>
      </c>
      <c r="F70" s="31" t="s">
        <v>239</v>
      </c>
    </row>
    <row r="71" spans="1:6" x14ac:dyDescent="0.2">
      <c r="A71" s="32" t="s">
        <v>240</v>
      </c>
      <c r="B71" s="24" t="s">
        <v>241</v>
      </c>
      <c r="C71" s="25" t="s">
        <v>211</v>
      </c>
      <c r="D71" s="24" t="s">
        <v>238</v>
      </c>
      <c r="E71" s="25" t="s">
        <v>9</v>
      </c>
      <c r="F71" s="33" t="s">
        <v>242</v>
      </c>
    </row>
    <row r="72" spans="1:6" x14ac:dyDescent="0.2">
      <c r="A72" s="30" t="s">
        <v>243</v>
      </c>
      <c r="B72" s="22" t="s">
        <v>244</v>
      </c>
      <c r="C72" s="23" t="s">
        <v>211</v>
      </c>
      <c r="D72" s="22" t="s">
        <v>238</v>
      </c>
      <c r="E72" s="23" t="s">
        <v>9</v>
      </c>
      <c r="F72" s="31" t="s">
        <v>245</v>
      </c>
    </row>
    <row r="73" spans="1:6" x14ac:dyDescent="0.2">
      <c r="A73" s="32" t="s">
        <v>246</v>
      </c>
      <c r="B73" s="24" t="s">
        <v>247</v>
      </c>
      <c r="C73" s="25" t="s">
        <v>211</v>
      </c>
      <c r="D73" s="24" t="s">
        <v>238</v>
      </c>
      <c r="E73" s="25" t="s">
        <v>9</v>
      </c>
      <c r="F73" s="33" t="s">
        <v>248</v>
      </c>
    </row>
    <row r="74" spans="1:6" x14ac:dyDescent="0.2">
      <c r="A74" s="30" t="s">
        <v>249</v>
      </c>
      <c r="B74" s="22" t="s">
        <v>250</v>
      </c>
      <c r="C74" s="23" t="s">
        <v>211</v>
      </c>
      <c r="D74" s="22" t="s">
        <v>238</v>
      </c>
      <c r="E74" s="23" t="s">
        <v>9</v>
      </c>
      <c r="F74" s="31" t="s">
        <v>251</v>
      </c>
    </row>
    <row r="75" spans="1:6" x14ac:dyDescent="0.2">
      <c r="A75" s="32" t="s">
        <v>252</v>
      </c>
      <c r="B75" s="24" t="s">
        <v>253</v>
      </c>
      <c r="C75" s="25" t="s">
        <v>211</v>
      </c>
      <c r="D75" s="24" t="s">
        <v>238</v>
      </c>
      <c r="E75" s="25" t="s">
        <v>9</v>
      </c>
      <c r="F75" s="33" t="s">
        <v>254</v>
      </c>
    </row>
    <row r="76" spans="1:6" x14ac:dyDescent="0.2">
      <c r="A76" s="30" t="s">
        <v>255</v>
      </c>
      <c r="B76" s="22" t="s">
        <v>256</v>
      </c>
      <c r="C76" s="23" t="s">
        <v>211</v>
      </c>
      <c r="D76" s="22" t="s">
        <v>238</v>
      </c>
      <c r="E76" s="23" t="s">
        <v>9</v>
      </c>
      <c r="F76" s="31" t="s">
        <v>257</v>
      </c>
    </row>
    <row r="77" spans="1:6" x14ac:dyDescent="0.2">
      <c r="A77" s="32" t="s">
        <v>258</v>
      </c>
      <c r="B77" s="24" t="s">
        <v>259</v>
      </c>
      <c r="C77" s="25" t="s">
        <v>260</v>
      </c>
      <c r="D77" s="24" t="s">
        <v>261</v>
      </c>
      <c r="E77" s="25" t="s">
        <v>6</v>
      </c>
      <c r="F77" s="33" t="s">
        <v>262</v>
      </c>
    </row>
    <row r="78" spans="1:6" x14ac:dyDescent="0.2">
      <c r="A78" s="30" t="s">
        <v>263</v>
      </c>
      <c r="B78" s="22" t="s">
        <v>264</v>
      </c>
      <c r="C78" s="23" t="s">
        <v>260</v>
      </c>
      <c r="D78" s="22" t="s">
        <v>261</v>
      </c>
      <c r="E78" s="23" t="s">
        <v>6</v>
      </c>
      <c r="F78" s="31" t="s">
        <v>265</v>
      </c>
    </row>
    <row r="79" spans="1:6" x14ac:dyDescent="0.2">
      <c r="A79" s="32" t="s">
        <v>266</v>
      </c>
      <c r="B79" s="24" t="s">
        <v>267</v>
      </c>
      <c r="C79" s="25" t="s">
        <v>260</v>
      </c>
      <c r="D79" s="24" t="s">
        <v>261</v>
      </c>
      <c r="E79" s="25" t="s">
        <v>6</v>
      </c>
      <c r="F79" s="33" t="s">
        <v>268</v>
      </c>
    </row>
    <row r="80" spans="1:6" x14ac:dyDescent="0.2">
      <c r="A80" s="30" t="s">
        <v>269</v>
      </c>
      <c r="B80" s="22" t="s">
        <v>270</v>
      </c>
      <c r="C80" s="23" t="s">
        <v>260</v>
      </c>
      <c r="D80" s="22" t="s">
        <v>261</v>
      </c>
      <c r="E80" s="23" t="s">
        <v>6</v>
      </c>
      <c r="F80" s="31" t="s">
        <v>271</v>
      </c>
    </row>
    <row r="81" spans="1:6" x14ac:dyDescent="0.2">
      <c r="A81" s="32" t="s">
        <v>272</v>
      </c>
      <c r="B81" s="24" t="s">
        <v>273</v>
      </c>
      <c r="C81" s="25" t="s">
        <v>260</v>
      </c>
      <c r="D81" s="24" t="s">
        <v>261</v>
      </c>
      <c r="E81" s="25" t="s">
        <v>6</v>
      </c>
      <c r="F81" s="33" t="s">
        <v>274</v>
      </c>
    </row>
    <row r="82" spans="1:6" x14ac:dyDescent="0.2">
      <c r="A82" s="30" t="s">
        <v>275</v>
      </c>
      <c r="B82" s="22" t="s">
        <v>276</v>
      </c>
      <c r="C82" s="23" t="s">
        <v>260</v>
      </c>
      <c r="D82" s="22" t="s">
        <v>261</v>
      </c>
      <c r="E82" s="23" t="s">
        <v>6</v>
      </c>
      <c r="F82" s="31" t="s">
        <v>277</v>
      </c>
    </row>
    <row r="83" spans="1:6" x14ac:dyDescent="0.2">
      <c r="A83" s="32" t="s">
        <v>278</v>
      </c>
      <c r="B83" s="24" t="s">
        <v>279</v>
      </c>
      <c r="C83" s="25" t="s">
        <v>260</v>
      </c>
      <c r="D83" s="24" t="s">
        <v>261</v>
      </c>
      <c r="E83" s="25" t="s">
        <v>6</v>
      </c>
      <c r="F83" s="33" t="s">
        <v>280</v>
      </c>
    </row>
    <row r="84" spans="1:6" x14ac:dyDescent="0.2">
      <c r="A84" s="30" t="s">
        <v>281</v>
      </c>
      <c r="B84" s="22" t="s">
        <v>282</v>
      </c>
      <c r="C84" s="23" t="s">
        <v>260</v>
      </c>
      <c r="D84" s="22" t="s">
        <v>261</v>
      </c>
      <c r="E84" s="23" t="s">
        <v>6</v>
      </c>
      <c r="F84" s="31" t="s">
        <v>283</v>
      </c>
    </row>
    <row r="85" spans="1:6" x14ac:dyDescent="0.2">
      <c r="A85" s="32" t="s">
        <v>284</v>
      </c>
      <c r="B85" s="24" t="s">
        <v>285</v>
      </c>
      <c r="C85" s="25" t="s">
        <v>260</v>
      </c>
      <c r="D85" s="24" t="s">
        <v>261</v>
      </c>
      <c r="E85" s="25" t="s">
        <v>6</v>
      </c>
      <c r="F85" s="33" t="s">
        <v>286</v>
      </c>
    </row>
    <row r="86" spans="1:6" x14ac:dyDescent="0.2">
      <c r="A86" s="30" t="s">
        <v>287</v>
      </c>
      <c r="B86" s="22" t="s">
        <v>288</v>
      </c>
      <c r="C86" s="23" t="s">
        <v>260</v>
      </c>
      <c r="D86" s="22" t="s">
        <v>261</v>
      </c>
      <c r="E86" s="23" t="s">
        <v>6</v>
      </c>
      <c r="F86" s="31" t="s">
        <v>289</v>
      </c>
    </row>
    <row r="87" spans="1:6" x14ac:dyDescent="0.2">
      <c r="A87" s="32" t="s">
        <v>290</v>
      </c>
      <c r="B87" s="24" t="s">
        <v>291</v>
      </c>
      <c r="C87" s="25" t="s">
        <v>292</v>
      </c>
      <c r="D87" s="24" t="s">
        <v>293</v>
      </c>
      <c r="E87" s="25" t="s">
        <v>6</v>
      </c>
      <c r="F87" s="33" t="s">
        <v>294</v>
      </c>
    </row>
    <row r="88" spans="1:6" x14ac:dyDescent="0.2">
      <c r="A88" s="30" t="s">
        <v>295</v>
      </c>
      <c r="B88" s="22" t="s">
        <v>296</v>
      </c>
      <c r="C88" s="23" t="s">
        <v>292</v>
      </c>
      <c r="D88" s="22" t="s">
        <v>293</v>
      </c>
      <c r="E88" s="23" t="s">
        <v>6</v>
      </c>
      <c r="F88" s="31" t="s">
        <v>297</v>
      </c>
    </row>
    <row r="89" spans="1:6" x14ac:dyDescent="0.2">
      <c r="A89" s="32" t="s">
        <v>298</v>
      </c>
      <c r="B89" s="24" t="s">
        <v>299</v>
      </c>
      <c r="C89" s="25" t="s">
        <v>292</v>
      </c>
      <c r="D89" s="24" t="s">
        <v>293</v>
      </c>
      <c r="E89" s="25" t="s">
        <v>6</v>
      </c>
      <c r="F89" s="33" t="s">
        <v>300</v>
      </c>
    </row>
    <row r="90" spans="1:6" x14ac:dyDescent="0.2">
      <c r="A90" s="30" t="s">
        <v>301</v>
      </c>
      <c r="B90" s="22" t="s">
        <v>302</v>
      </c>
      <c r="C90" s="23" t="s">
        <v>292</v>
      </c>
      <c r="D90" s="22" t="s">
        <v>293</v>
      </c>
      <c r="E90" s="23" t="s">
        <v>6</v>
      </c>
      <c r="F90" s="31" t="s">
        <v>303</v>
      </c>
    </row>
    <row r="91" spans="1:6" x14ac:dyDescent="0.2">
      <c r="A91" s="32" t="s">
        <v>304</v>
      </c>
      <c r="B91" s="24" t="s">
        <v>305</v>
      </c>
      <c r="C91" s="25" t="s">
        <v>292</v>
      </c>
      <c r="D91" s="24" t="s">
        <v>293</v>
      </c>
      <c r="E91" s="25" t="s">
        <v>6</v>
      </c>
      <c r="F91" s="33" t="s">
        <v>306</v>
      </c>
    </row>
    <row r="92" spans="1:6" x14ac:dyDescent="0.2">
      <c r="A92" s="30" t="s">
        <v>307</v>
      </c>
      <c r="B92" s="22" t="s">
        <v>308</v>
      </c>
      <c r="C92" s="23" t="s">
        <v>292</v>
      </c>
      <c r="D92" s="22" t="s">
        <v>293</v>
      </c>
      <c r="E92" s="23" t="s">
        <v>6</v>
      </c>
      <c r="F92" s="31" t="s">
        <v>309</v>
      </c>
    </row>
    <row r="93" spans="1:6" x14ac:dyDescent="0.2">
      <c r="A93" s="32" t="s">
        <v>310</v>
      </c>
      <c r="B93" s="24" t="s">
        <v>311</v>
      </c>
      <c r="C93" s="25" t="s">
        <v>292</v>
      </c>
      <c r="D93" s="24" t="s">
        <v>293</v>
      </c>
      <c r="E93" s="25" t="s">
        <v>6</v>
      </c>
      <c r="F93" s="33" t="s">
        <v>312</v>
      </c>
    </row>
    <row r="94" spans="1:6" x14ac:dyDescent="0.2">
      <c r="A94" s="30" t="s">
        <v>313</v>
      </c>
      <c r="B94" s="22" t="s">
        <v>314</v>
      </c>
      <c r="C94" s="23" t="s">
        <v>292</v>
      </c>
      <c r="D94" s="22" t="s">
        <v>293</v>
      </c>
      <c r="E94" s="23" t="s">
        <v>6</v>
      </c>
      <c r="F94" s="31" t="s">
        <v>315</v>
      </c>
    </row>
    <row r="95" spans="1:6" x14ac:dyDescent="0.2">
      <c r="A95" s="32" t="s">
        <v>316</v>
      </c>
      <c r="B95" s="24" t="s">
        <v>317</v>
      </c>
      <c r="C95" s="25" t="s">
        <v>292</v>
      </c>
      <c r="D95" s="24" t="s">
        <v>293</v>
      </c>
      <c r="E95" s="25" t="s">
        <v>6</v>
      </c>
      <c r="F95" s="33" t="s">
        <v>318</v>
      </c>
    </row>
    <row r="96" spans="1:6" x14ac:dyDescent="0.2">
      <c r="A96" s="30" t="s">
        <v>319</v>
      </c>
      <c r="B96" s="22" t="s">
        <v>320</v>
      </c>
      <c r="C96" s="23" t="s">
        <v>292</v>
      </c>
      <c r="D96" s="22" t="s">
        <v>293</v>
      </c>
      <c r="E96" s="23" t="s">
        <v>6</v>
      </c>
      <c r="F96" s="31" t="s">
        <v>321</v>
      </c>
    </row>
    <row r="97" spans="1:6" x14ac:dyDescent="0.2">
      <c r="A97" s="32" t="s">
        <v>322</v>
      </c>
      <c r="B97" s="24" t="s">
        <v>323</v>
      </c>
      <c r="C97" s="25" t="s">
        <v>292</v>
      </c>
      <c r="D97" s="24" t="s">
        <v>293</v>
      </c>
      <c r="E97" s="25" t="s">
        <v>6</v>
      </c>
      <c r="F97" s="33" t="s">
        <v>324</v>
      </c>
    </row>
    <row r="98" spans="1:6" x14ac:dyDescent="0.2">
      <c r="A98" s="30" t="s">
        <v>325</v>
      </c>
      <c r="B98" s="22" t="s">
        <v>326</v>
      </c>
      <c r="C98" s="23" t="s">
        <v>292</v>
      </c>
      <c r="D98" s="22" t="s">
        <v>293</v>
      </c>
      <c r="E98" s="23" t="s">
        <v>6</v>
      </c>
      <c r="F98" s="31" t="s">
        <v>327</v>
      </c>
    </row>
    <row r="99" spans="1:6" x14ac:dyDescent="0.2">
      <c r="A99" s="32" t="s">
        <v>328</v>
      </c>
      <c r="B99" s="24" t="s">
        <v>329</v>
      </c>
      <c r="C99" s="25" t="s">
        <v>292</v>
      </c>
      <c r="D99" s="24" t="s">
        <v>293</v>
      </c>
      <c r="E99" s="25" t="s">
        <v>6</v>
      </c>
      <c r="F99" s="33" t="s">
        <v>330</v>
      </c>
    </row>
    <row r="100" spans="1:6" x14ac:dyDescent="0.2">
      <c r="A100" s="30" t="s">
        <v>331</v>
      </c>
      <c r="B100" s="22" t="s">
        <v>332</v>
      </c>
      <c r="C100" s="23" t="s">
        <v>292</v>
      </c>
      <c r="D100" s="22" t="s">
        <v>293</v>
      </c>
      <c r="E100" s="23" t="s">
        <v>6</v>
      </c>
      <c r="F100" s="31" t="s">
        <v>333</v>
      </c>
    </row>
    <row r="101" spans="1:6" ht="16" thickBot="1" x14ac:dyDescent="0.25">
      <c r="A101" s="34" t="s">
        <v>334</v>
      </c>
      <c r="B101" s="35" t="s">
        <v>335</v>
      </c>
      <c r="C101" s="36" t="s">
        <v>292</v>
      </c>
      <c r="D101" s="35" t="s">
        <v>293</v>
      </c>
      <c r="E101" s="36" t="s">
        <v>6</v>
      </c>
      <c r="F101" s="37" t="s">
        <v>336</v>
      </c>
    </row>
  </sheetData>
  <autoFilter ref="A1:F101" xr:uid="{00000000-0009-0000-0000-000001000000}"/>
  <pageMargins left="0.75" right="0.75" top="1" bottom="1" header="0.5" footer="0.5"/>
  <ignoredErrors>
    <ignoredError sqref="A2:A10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Chart of Accounts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Parikh, Hetvi H</cp:lastModifiedBy>
  <dcterms:created xsi:type="dcterms:W3CDTF">2026-08-17T11:14:38Z</dcterms:created>
  <dcterms:modified xsi:type="dcterms:W3CDTF">2026-08-17T11:20:41Z</dcterms:modified>
</cp:coreProperties>
</file>